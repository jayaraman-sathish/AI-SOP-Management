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ite Setup" sheetId="2" state="visible" r:id="rId4"/>
    <sheet name="RTM" sheetId="3" state="visible" r:id="rId5"/>
    <sheet name="Site Comparison" sheetId="4" state="visible" r:id="rId6"/>
    <sheet name="Gap Summ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<sst xmlns="http://schemas.openxmlformats.org/spreadsheetml/2006/main" count="319" uniqueCount="258">
  <si>
    <t xml:space="preserve">Requirement Traceability Matrix (RTM) — Sterile / Injectable Formulation SOPs</t>
  </si>
  <si>
    <t xml:space="preserve">Purpose</t>
  </si>
  <si>
    <t xml:space="preserve">This workbook maps every regulatory requirement applicable to sterile/injectable manufacturing (FDA 21 CFR 210/211, EU GMP Annex 1 (2022), ICH Q7/Q9/Q10, WHO GMP TRS 1044 Annex 2) to the SOP(s) that are supposed to cover it at each manufacturing site. It is the master tool for proving, clause by clause, that every site's SOP set is complete and compliant — and for surfacing gaps.</t>
  </si>
  <si>
    <t xml:space="preserve">How to use this workbook</t>
  </si>
  <si>
    <t xml:space="preserve">1. Go to the 'RTM' sheet. Each row is one regulatory requirement (pre-populated for sterile/injectable scope).</t>
  </si>
  <si>
    <t xml:space="preserve">2. For each site, fill in the yellow input columns: the SOP number and version that covers that requirement at that site.</t>
  </si>
  <si>
    <t xml:space="preserve">3. Set 'Coverage Status' per site using the dropdown (Covered / Partially Covered / Not Covered / SOP Missing).</t>
  </si>
  <si>
    <t xml:space="preserve">4. Use 'Gap / Deviation Notes' to record exactly what is missing or non-compliant, referencing the specific clause language.</t>
  </si>
  <si>
    <t xml:space="preserve">5. Add the plant/site names on the 'Site Setup' sheet — the RTM sheet's site columns will pick up the same labels once entered manually in the header row.</t>
  </si>
  <si>
    <t xml:space="preserve">6. Use 'Site Comparison' sheet to log where sites differ from each other in process/parameters even when all are technically compliant.</t>
  </si>
  <si>
    <t xml:space="preserve">7. Use 'Gap Summary' sheet (auto-tallies from RTM) as the punch list for SOP authors and the change-control queue.</t>
  </si>
  <si>
    <t xml:space="preserve">Coverage status definitions</t>
  </si>
  <si>
    <t xml:space="preserve">Covered — SOP text explicitly addresses the requirement with adequate detail and controls.</t>
  </si>
  <si>
    <t xml:space="preserve">Partially Covered — SOP references the topic but is missing specific parameters, acceptance criteria, or a referenced sub-requirement.</t>
  </si>
  <si>
    <t xml:space="preserve">Not Covered — An SOP exists for this process area but does not address this specific requirement.</t>
  </si>
  <si>
    <t xml:space="preserve">SOP Missing — No SOP exists at this site for the process area the requirement falls under.</t>
  </si>
  <si>
    <t xml:space="preserve">Status</t>
  </si>
  <si>
    <t xml:space="preserve">This is a framework/template pre-loaded with the applicable regulatory clause set for sterile/injectable operations. Site names, plant details, and actual SOP inventories are pending — populate 'Site Setup' and the yellow cells in 'RTM' once that information is available.</t>
  </si>
  <si>
    <t xml:space="preserve">Site Code</t>
  </si>
  <si>
    <t xml:space="preserve">Site Name / Location</t>
  </si>
  <si>
    <t xml:space="preserve">Product Type (Injectable / Sterile Solid / Other)</t>
  </si>
  <si>
    <t xml:space="preserve">Sterilization Method (Terminal / Aseptic Fill-Finish)</t>
  </si>
  <si>
    <t xml:space="preserve">Regulatory Markets Supplied</t>
  </si>
  <si>
    <t xml:space="preserve">Notes</t>
  </si>
  <si>
    <t xml:space="preserve">SITE-01</t>
  </si>
  <si>
    <t xml:space="preserve">e.g. Plant A – &lt;city&gt;</t>
  </si>
  <si>
    <t xml:space="preserve">Sterile Injectable</t>
  </si>
  <si>
    <t xml:space="preserve">Aseptic Fill-Finish</t>
  </si>
  <si>
    <t xml:space="preserve">e.g. US, EU, WHO-PQ</t>
  </si>
  <si>
    <t xml:space="preserve">Example row — replace with real data</t>
  </si>
  <si>
    <t xml:space="preserve">Req ID</t>
  </si>
  <si>
    <t xml:space="preserve">Source</t>
  </si>
  <si>
    <t xml:space="preserve">Clause / Section</t>
  </si>
  <si>
    <t xml:space="preserve">Process Area</t>
  </si>
  <si>
    <t xml:space="preserve">Regulatory Requirement</t>
  </si>
  <si>
    <t xml:space="preserve">Required SOP Category</t>
  </si>
  <si>
    <t xml:space="preserve">Site 1 – SOP No. &amp; Ver.</t>
  </si>
  <si>
    <t xml:space="preserve">Site 1 – Coverage Status</t>
  </si>
  <si>
    <t xml:space="preserve">Site 2 – SOP No. &amp; Ver.</t>
  </si>
  <si>
    <t xml:space="preserve">Site 2 – Coverage Status</t>
  </si>
  <si>
    <t xml:space="preserve">Site 3 – SOP No. &amp; Ver.</t>
  </si>
  <si>
    <t xml:space="preserve">Site 3 – Coverage Status</t>
  </si>
  <si>
    <t xml:space="preserve">Gap / Deviation Notes</t>
  </si>
  <si>
    <t xml:space="preserve">Risk Level</t>
  </si>
  <si>
    <t xml:space="preserve">Action Owner</t>
  </si>
  <si>
    <t xml:space="preserve">Target Close Date</t>
  </si>
  <si>
    <t xml:space="preserve">REQ-001</t>
  </si>
  <si>
    <t xml:space="preserve">FDA 21 CFR 211</t>
  </si>
  <si>
    <t xml:space="preserve">§211.42</t>
  </si>
  <si>
    <t xml:space="preserve">Facility Design</t>
  </si>
  <si>
    <t xml:space="preserve">Buildings must be of suitable size, construction, and location for aseptic operations, with separate/defined areas to prevent contamination and mix-ups.</t>
  </si>
  <si>
    <t xml:space="preserve">Facility Qualification &amp; Room Classification</t>
  </si>
  <si>
    <t xml:space="preserve">REQ-002</t>
  </si>
  <si>
    <t xml:space="preserve">§211.46</t>
  </si>
  <si>
    <t xml:space="preserve">HVAC</t>
  </si>
  <si>
    <t xml:space="preserve">Adequate ventilation with air filtration (HEPA where appropriate) and pressure differentials to prevent contamination in sterile areas.</t>
  </si>
  <si>
    <t xml:space="preserve">HVAC Qualification &amp; Monitoring</t>
  </si>
  <si>
    <t xml:space="preserve">REQ-003</t>
  </si>
  <si>
    <t xml:space="preserve">§211.63/.65</t>
  </si>
  <si>
    <t xml:space="preserve">Equipment</t>
  </si>
  <si>
    <t xml:space="preserve">Equipment used in manufacture must be of appropriate design, size, and suitably located; contact surfaces must not react with product.</t>
  </si>
  <si>
    <t xml:space="preserve">Equipment Qualification &amp; Maintenance</t>
  </si>
  <si>
    <t xml:space="preserve">REQ-004</t>
  </si>
  <si>
    <t xml:space="preserve">§211.67</t>
  </si>
  <si>
    <t xml:space="preserve">Cleaning</t>
  </si>
  <si>
    <t xml:space="preserve">Written procedures for cleaning and sanitizing equipment, with schedules, methods, and records.</t>
  </si>
  <si>
    <t xml:space="preserve">Equipment Cleaning &amp; Sanitization</t>
  </si>
  <si>
    <t xml:space="preserve">REQ-005</t>
  </si>
  <si>
    <t xml:space="preserve">§211.94/.113</t>
  </si>
  <si>
    <t xml:space="preserve">Sterilization</t>
  </si>
  <si>
    <t xml:space="preserve">Written procedures to prevent microbiological contamination of drug products purporting to be sterile, including validation of sterilization processes.</t>
  </si>
  <si>
    <t xml:space="preserve">Sterilization Process Validation</t>
  </si>
  <si>
    <t xml:space="preserve">REQ-006</t>
  </si>
  <si>
    <t xml:space="preserve">§211.100/.101</t>
  </si>
  <si>
    <t xml:space="preserve">Production &amp; Process Controls</t>
  </si>
  <si>
    <t xml:space="preserve">Written production and process control procedures, including in-process controls and specifications for aseptic filling operations.</t>
  </si>
  <si>
    <t xml:space="preserve">Aseptic Filling / Process Control</t>
  </si>
  <si>
    <t xml:space="preserve">REQ-007</t>
  </si>
  <si>
    <t xml:space="preserve">§211.113(b)</t>
  </si>
  <si>
    <t xml:space="preserve">Aseptic Processing</t>
  </si>
  <si>
    <t xml:space="preserve">Written procedures for aseptic processing, including validation of aseptic and sterilization processes (media fills).</t>
  </si>
  <si>
    <t xml:space="preserve">Aseptic Process Simulation (Media Fill)</t>
  </si>
  <si>
    <t xml:space="preserve">REQ-008</t>
  </si>
  <si>
    <t xml:space="preserve">§211.25</t>
  </si>
  <si>
    <t xml:space="preserve">Personnel</t>
  </si>
  <si>
    <t xml:space="preserve">Personnel must have education, training, and experience for their function; ongoing training in cGMP and job-specific aseptic technique.</t>
  </si>
  <si>
    <t xml:space="preserve">Personnel Training &amp; Gowning Qualification</t>
  </si>
  <si>
    <t xml:space="preserve">REQ-009</t>
  </si>
  <si>
    <t xml:space="preserve">§211.28</t>
  </si>
  <si>
    <t xml:space="preserve">Personnel Hygiene</t>
  </si>
  <si>
    <t xml:space="preserve">Personnel practices for clean/sterile clothing, gowning procedures, and health/hygiene controls to prevent contamination.</t>
  </si>
  <si>
    <t xml:space="preserve">Gowning &amp; Personnel Hygiene</t>
  </si>
  <si>
    <t xml:space="preserve">REQ-010</t>
  </si>
  <si>
    <t xml:space="preserve">§211.42(c)(10)</t>
  </si>
  <si>
    <t xml:space="preserve">Environmental Monitoring</t>
  </si>
  <si>
    <t xml:space="preserve">Establishment of a system for monitoring environmental conditions in aseptic processing areas.</t>
  </si>
  <si>
    <t xml:space="preserve">Environmental Monitoring Program</t>
  </si>
  <si>
    <t xml:space="preserve">REQ-011</t>
  </si>
  <si>
    <t xml:space="preserve">§211.84/.113</t>
  </si>
  <si>
    <t xml:space="preserve">Component/Container Control</t>
  </si>
  <si>
    <t xml:space="preserve">Testing and approval/rejection of components, containers, and closures; control of container-closure integrity.</t>
  </si>
  <si>
    <t xml:space="preserve">Incoming Material &amp; Component Control</t>
  </si>
  <si>
    <t xml:space="preserve">REQ-012</t>
  </si>
  <si>
    <t xml:space="preserve">§211.160-167</t>
  </si>
  <si>
    <t xml:space="preserve">Laboratory Controls</t>
  </si>
  <si>
    <t xml:space="preserve">Establishment of scientifically sound laboratory controls, including sterility, endotoxin/pyrogen, and particulate testing.</t>
  </si>
  <si>
    <t xml:space="preserve">QC Sterility &amp; Endotoxin Testing</t>
  </si>
  <si>
    <t xml:space="preserve">REQ-013</t>
  </si>
  <si>
    <t xml:space="preserve">§211.188/.192</t>
  </si>
  <si>
    <t xml:space="preserve">Batch Records</t>
  </si>
  <si>
    <t xml:space="preserve">Complete batch production and control records reviewed and approved prior to release; documented investigation of discrepancies.</t>
  </si>
  <si>
    <t xml:space="preserve">Batch Record Review &amp; Release</t>
  </si>
  <si>
    <t xml:space="preserve">REQ-014</t>
  </si>
  <si>
    <t xml:space="preserve">§211.100(a)</t>
  </si>
  <si>
    <t xml:space="preserve">Change Control</t>
  </si>
  <si>
    <t xml:space="preserve">Written procedures for changes to specifications, methods, and procedures, drafted, reviewed, and approved by the quality control unit.</t>
  </si>
  <si>
    <t xml:space="preserve">REQ-015</t>
  </si>
  <si>
    <t xml:space="preserve">§211.192</t>
  </si>
  <si>
    <t xml:space="preserve">Deviation/CAPA</t>
  </si>
  <si>
    <t xml:space="preserve">Investigation of any unexplained discrepancy or failure of a batch to meet specifications; documented CAPA.</t>
  </si>
  <si>
    <t xml:space="preserve">Deviation &amp; CAPA Management</t>
  </si>
  <si>
    <t xml:space="preserve">REQ-016</t>
  </si>
  <si>
    <t xml:space="preserve">§211.68</t>
  </si>
  <si>
    <t xml:space="preserve">Water Systems</t>
  </si>
  <si>
    <t xml:space="preserve">Systems for water used in manufacturing (e.g., WFI) must be validated and monitored for chemical and microbial quality.</t>
  </si>
  <si>
    <t xml:space="preserve">Water System (WFI) Qualification &amp; Monitoring</t>
  </si>
  <si>
    <t xml:space="preserve">REQ-017</t>
  </si>
  <si>
    <t xml:space="preserve">EU GMP Annex 1 (2022)</t>
  </si>
  <si>
    <t xml:space="preserve">§1-6</t>
  </si>
  <si>
    <t xml:space="preserve">Contamination Control</t>
  </si>
  <si>
    <t xml:space="preserve">Establishment and maintenance of a holistic Contamination Control Strategy (CCS) covering facility, personnel, equipment, and process risks.</t>
  </si>
  <si>
    <t xml:space="preserve">Contamination Control Strategy</t>
  </si>
  <si>
    <t xml:space="preserve">REQ-018</t>
  </si>
  <si>
    <t xml:space="preserve">§4</t>
  </si>
  <si>
    <t xml:space="preserve">Premises – Grade A/B/C/D</t>
  </si>
  <si>
    <t xml:space="preserve">Cleanroom classification, qualification, and routine environmental/particle monitoring per grade, with defined action/alert limits.</t>
  </si>
  <si>
    <t xml:space="preserve">Room Classification &amp; EM Program</t>
  </si>
  <si>
    <t xml:space="preserve">REQ-019</t>
  </si>
  <si>
    <t xml:space="preserve">§4.16-4.20</t>
  </si>
  <si>
    <t xml:space="preserve">Barrier Technology</t>
  </si>
  <si>
    <t xml:space="preserve">Use and qualification of RABS/isolators where applicable, including leak testing and decontamination cycles.</t>
  </si>
  <si>
    <t xml:space="preserve">RABS / Isolator Qualification</t>
  </si>
  <si>
    <t xml:space="preserve">REQ-020</t>
  </si>
  <si>
    <t xml:space="preserve">§6</t>
  </si>
  <si>
    <t xml:space="preserve">HVAC &amp; Air Filtration</t>
  </si>
  <si>
    <t xml:space="preserve">HVAC system design, qualification, and monitoring to maintain required air classification and pressure cascades.</t>
  </si>
  <si>
    <t xml:space="preserve">REQ-021</t>
  </si>
  <si>
    <t xml:space="preserve">§7</t>
  </si>
  <si>
    <t xml:space="preserve">Personnel Gowning</t>
  </si>
  <si>
    <t xml:space="preserve">Detailed gowning qualification (initial and periodic requalification) with defined disqualification/retraining triggers.</t>
  </si>
  <si>
    <t xml:space="preserve">REQ-022</t>
  </si>
  <si>
    <t xml:space="preserve">§8</t>
  </si>
  <si>
    <t xml:space="preserve">Design and qualification of equipment to minimize contamination risk, including CIP/SIP systems.</t>
  </si>
  <si>
    <t xml:space="preserve">Equipment Qualification &amp; CIP/SIP</t>
  </si>
  <si>
    <t xml:space="preserve">REQ-023</t>
  </si>
  <si>
    <t xml:space="preserve">§9</t>
  </si>
  <si>
    <t xml:space="preserve">Utilities (Water/Gas/Steam)</t>
  </si>
  <si>
    <t xml:space="preserve">Qualification and routine monitoring of water, gases, and steam systems used in sterile manufacture.</t>
  </si>
  <si>
    <t xml:space="preserve">Water/Gas/Steam System Qualification</t>
  </si>
  <si>
    <t xml:space="preserve">REQ-024</t>
  </si>
  <si>
    <t xml:space="preserve">§10</t>
  </si>
  <si>
    <t xml:space="preserve">Production &amp; Specific Technologies</t>
  </si>
  <si>
    <t xml:space="preserve">Process-specific controls for aseptic and terminally sterilized products, including bioburden control before sterilization.</t>
  </si>
  <si>
    <t xml:space="preserve">Aseptic Filling / Terminal Sterilization Control</t>
  </si>
  <si>
    <t xml:space="preserve">REQ-025</t>
  </si>
  <si>
    <t xml:space="preserve">§8.123-8.129 / §9</t>
  </si>
  <si>
    <t xml:space="preserve">Validation and routine control of sterilization methods (moist heat, dry heat, filtration, irradiation).</t>
  </si>
  <si>
    <t xml:space="preserve">REQ-026</t>
  </si>
  <si>
    <t xml:space="preserve">§9.33-9.40</t>
  </si>
  <si>
    <t xml:space="preserve">Filtration</t>
  </si>
  <si>
    <t xml:space="preserve">Validation of sterilizing-grade filters, including integrity testing pre- and post-use.</t>
  </si>
  <si>
    <t xml:space="preserve">Sterile Filtration &amp; Filter Integrity Testing</t>
  </si>
  <si>
    <t xml:space="preserve">REQ-027</t>
  </si>
  <si>
    <t xml:space="preserve">§13</t>
  </si>
  <si>
    <t xml:space="preserve">Environmental &amp; Process Monitoring</t>
  </si>
  <si>
    <t xml:space="preserve">Environmental and process monitoring program including viable/non-viable particle counts, with trending and alert/action limits.</t>
  </si>
  <si>
    <t xml:space="preserve">REQ-028</t>
  </si>
  <si>
    <t xml:space="preserve">§9.45-9.51</t>
  </si>
  <si>
    <t xml:space="preserve">Aseptic Process Simulation</t>
  </si>
  <si>
    <t xml:space="preserve">Media fill / process simulation requirements, frequency, and worst-case design.</t>
  </si>
  <si>
    <t xml:space="preserve">REQ-029</t>
  </si>
  <si>
    <t xml:space="preserve">§14</t>
  </si>
  <si>
    <t xml:space="preserve">Quality Control</t>
  </si>
  <si>
    <t xml:space="preserve">Sterility testing, container closure integrity testing, and finished product release testing.</t>
  </si>
  <si>
    <t xml:space="preserve">QC Sterility &amp; CCI Testing</t>
  </si>
  <si>
    <t xml:space="preserve">REQ-030</t>
  </si>
  <si>
    <t xml:space="preserve">ICH Q7</t>
  </si>
  <si>
    <t xml:space="preserve">§2-3</t>
  </si>
  <si>
    <t xml:space="preserve">Quality Management / Personnel</t>
  </si>
  <si>
    <t xml:space="preserve">Quality unit responsibilities, personnel qualification, and organizational structure for GMP compliance.</t>
  </si>
  <si>
    <t xml:space="preserve">Quality System &amp; Personnel Qualification</t>
  </si>
  <si>
    <t xml:space="preserve">REQ-031</t>
  </si>
  <si>
    <t xml:space="preserve">§5</t>
  </si>
  <si>
    <t xml:space="preserve">Process Equipment</t>
  </si>
  <si>
    <t xml:space="preserve">Equipment design, qualification, calibration, and preventive maintenance program.</t>
  </si>
  <si>
    <t xml:space="preserve">REQ-032</t>
  </si>
  <si>
    <t xml:space="preserve">Documentation &amp; Records</t>
  </si>
  <si>
    <t xml:space="preserve">Requirements for document control, batch production records, and record retention.</t>
  </si>
  <si>
    <t xml:space="preserve">Document Control &amp; Batch Records</t>
  </si>
  <si>
    <t xml:space="preserve">REQ-033</t>
  </si>
  <si>
    <t xml:space="preserve">§12</t>
  </si>
  <si>
    <t xml:space="preserve">Validation</t>
  </si>
  <si>
    <t xml:space="preserve">Process validation policy, including qualification of critical systems and revalidation criteria.</t>
  </si>
  <si>
    <t xml:space="preserve">Validation Master Plan</t>
  </si>
  <si>
    <t xml:space="preserve">REQ-034</t>
  </si>
  <si>
    <t xml:space="preserve">ICH Q9</t>
  </si>
  <si>
    <t xml:space="preserve">Whole guideline</t>
  </si>
  <si>
    <t xml:space="preserve">Quality Risk Management</t>
  </si>
  <si>
    <t xml:space="preserve">Formal quality risk management process applied to facility design, process, and change control decisions.</t>
  </si>
  <si>
    <t xml:space="preserve">Quality Risk Management Program</t>
  </si>
  <si>
    <t xml:space="preserve">REQ-035</t>
  </si>
  <si>
    <t xml:space="preserve">ICH Q10</t>
  </si>
  <si>
    <t xml:space="preserve">§3</t>
  </si>
  <si>
    <t xml:space="preserve">Pharmaceutical Quality System</t>
  </si>
  <si>
    <t xml:space="preserve">Process performance and product quality monitoring, CAPA system, change management, and management review.</t>
  </si>
  <si>
    <t xml:space="preserve">Pharmaceutical Quality System / Management Review</t>
  </si>
  <si>
    <t xml:space="preserve">REQ-036</t>
  </si>
  <si>
    <t xml:space="preserve">WHO GMP (TRS 1044, Annex 2)</t>
  </si>
  <si>
    <t xml:space="preserve">Premises</t>
  </si>
  <si>
    <t xml:space="preserve">Design of premises for sterile production, including airlocks, pass-throughs, and material/personnel flow.</t>
  </si>
  <si>
    <t xml:space="preserve">REQ-037</t>
  </si>
  <si>
    <t xml:space="preserve">Sanitation</t>
  </si>
  <si>
    <t xml:space="preserve">Sanitation program for clean areas including disinfectant qualification and rotation.</t>
  </si>
  <si>
    <t xml:space="preserve">Cleaning &amp; Disinfection Program</t>
  </si>
  <si>
    <t xml:space="preserve">REQ-038</t>
  </si>
  <si>
    <t xml:space="preserve">Processing</t>
  </si>
  <si>
    <t xml:space="preserve">Aseptic and terminal sterilization processing controls, including bioburden monitoring prior to sterilization.</t>
  </si>
  <si>
    <t xml:space="preserve">REQ-039</t>
  </si>
  <si>
    <t xml:space="preserve">Sterilization method validation and routine monitoring (autoclave, dry heat, filtration, gas).</t>
  </si>
  <si>
    <t xml:space="preserve">REQ-040</t>
  </si>
  <si>
    <t xml:space="preserve">Personnel qualification, gowning, and health monitoring for aseptic areas.</t>
  </si>
  <si>
    <t xml:space="preserve">REQ-041</t>
  </si>
  <si>
    <t xml:space="preserve">Finished product testing including sterility, pyrogen/endotoxin, and particulate matter testing.</t>
  </si>
  <si>
    <t xml:space="preserve">SOP Category</t>
  </si>
  <si>
    <t xml:space="preserve">Process Step / Parameter</t>
  </si>
  <si>
    <t xml:space="preserve">Site 1 – As Written</t>
  </si>
  <si>
    <t xml:space="preserve">Site 2 – As Written</t>
  </si>
  <si>
    <t xml:space="preserve">Site 3 – As Written</t>
  </si>
  <si>
    <t xml:space="preserve">Difference Identified?</t>
  </si>
  <si>
    <t xml:space="preserve">Regulatory Impact (Y/N + which req.)</t>
  </si>
  <si>
    <t xml:space="preserve">Recommended Harmonized Approach</t>
  </si>
  <si>
    <t xml:space="preserve">Media fill frequency</t>
  </si>
  <si>
    <t xml:space="preserve">Twice yearly per line</t>
  </si>
  <si>
    <t xml:space="preserve">Once yearly per line</t>
  </si>
  <si>
    <t xml:space="preserve">Yes</t>
  </si>
  <si>
    <t xml:space="preserve">Y – EU Annex 1 §9.48 expects semi-annual per shift/line</t>
  </si>
  <si>
    <t xml:space="preserve">Standardize to twice-yearly per line per shift across all sites</t>
  </si>
  <si>
    <t xml:space="preserve">Gap Summary (auto-calculated from RTM sheet)</t>
  </si>
  <si>
    <t xml:space="preserve">Metric</t>
  </si>
  <si>
    <t xml:space="preserve">Site 1</t>
  </si>
  <si>
    <t xml:space="preserve">Site 2</t>
  </si>
  <si>
    <t xml:space="preserve">Site 3</t>
  </si>
  <si>
    <t xml:space="preserve">Total Requirements</t>
  </si>
  <si>
    <t xml:space="preserve">Covered</t>
  </si>
  <si>
    <t xml:space="preserve">Partially Covered</t>
  </si>
  <si>
    <t xml:space="preserve">Not Covered</t>
  </si>
  <si>
    <t xml:space="preserve">SOP Missing</t>
  </si>
  <si>
    <t xml:space="preserve">% Fully Covered</t>
  </si>
</sst>
</file>

<file path=xl/styles.xml><?xml version="1.0" encoding="utf-8"?>
<styleSheet xmlns="http://schemas.openxmlformats.org/spreadsheetml/2006/main">
  <numFmts count="3">
    <numFmt numFmtId="164" formatCode="General"/>
    <numFmt numFmtId="165" formatCode="General"/>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color rgb="FFFFFFFF"/>
      <name val="Arial"/>
      <family val="0"/>
      <charset val="1"/>
    </font>
    <font>
      <i val="true"/>
      <sz val="10"/>
      <color rgb="FF808080"/>
      <name val="Arial"/>
      <family val="0"/>
      <charset val="1"/>
    </font>
    <font>
      <b val="true"/>
      <sz val="13"/>
      <color rgb="FF1F3864"/>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CE4E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E2EFDA"/>
        </patternFill>
      </fill>
    </dxf>
    <dxf>
      <fill>
        <patternFill>
          <bgColor rgb="FFFFF2CC"/>
        </patternFill>
      </fill>
    </dxf>
    <dxf>
      <fill>
        <patternFill>
          <bgColor rgb="FFFCE4E4"/>
        </patternFill>
      </fill>
    </dxf>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4E4"/>
      <rgbColor rgb="FF99CCFF"/>
      <rgbColor rgb="FFFF99CC"/>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6" hidden="false" customHeight="true" outlineLevel="0" collapsed="false">
      <c r="A2" s="2"/>
    </row>
    <row r="3" customFormat="false" ht="15" hidden="false" customHeight="false" outlineLevel="0" collapsed="false">
      <c r="A3" s="3" t="s">
        <v>1</v>
      </c>
    </row>
    <row r="4" customFormat="false" ht="30" hidden="false" customHeight="true" outlineLevel="0" collapsed="false">
      <c r="A4" s="2" t="s">
        <v>2</v>
      </c>
    </row>
    <row r="5" customFormat="false" ht="6" hidden="false" customHeight="true" outlineLevel="0" collapsed="false">
      <c r="A5" s="2"/>
    </row>
    <row r="6" customFormat="false" ht="15" hidden="false" customHeight="false" outlineLevel="0" collapsed="false">
      <c r="A6" s="3" t="s">
        <v>3</v>
      </c>
    </row>
    <row r="7" customFormat="false" ht="30" hidden="false" customHeight="true" outlineLevel="0" collapsed="false">
      <c r="A7" s="2" t="s">
        <v>4</v>
      </c>
    </row>
    <row r="8" customFormat="false" ht="30" hidden="false" customHeight="true" outlineLevel="0" collapsed="false">
      <c r="A8" s="2" t="s">
        <v>5</v>
      </c>
    </row>
    <row r="9" customFormat="false" ht="30" hidden="false" customHeight="true" outlineLevel="0" collapsed="false">
      <c r="A9" s="2" t="s">
        <v>6</v>
      </c>
    </row>
    <row r="10" customFormat="false" ht="30" hidden="false" customHeight="true" outlineLevel="0" collapsed="false">
      <c r="A10" s="2" t="s">
        <v>7</v>
      </c>
    </row>
    <row r="11" customFormat="false" ht="30" hidden="false" customHeight="true" outlineLevel="0" collapsed="false">
      <c r="A11" s="2" t="s">
        <v>8</v>
      </c>
    </row>
    <row r="12" customFormat="false" ht="30" hidden="false" customHeight="true" outlineLevel="0" collapsed="false">
      <c r="A12" s="2" t="s">
        <v>9</v>
      </c>
    </row>
    <row r="13" customFormat="false" ht="30" hidden="false" customHeight="true" outlineLevel="0" collapsed="false">
      <c r="A13" s="2" t="s">
        <v>10</v>
      </c>
    </row>
    <row r="14" customFormat="false" ht="6" hidden="false" customHeight="true" outlineLevel="0" collapsed="false">
      <c r="A14" s="2"/>
    </row>
    <row r="15" customFormat="false" ht="15" hidden="false" customHeight="false" outlineLevel="0" collapsed="false">
      <c r="A15" s="3" t="s">
        <v>11</v>
      </c>
    </row>
    <row r="16" customFormat="false" ht="30" hidden="false" customHeight="true" outlineLevel="0" collapsed="false">
      <c r="A16" s="2" t="s">
        <v>12</v>
      </c>
    </row>
    <row r="17" customFormat="false" ht="30" hidden="false" customHeight="true" outlineLevel="0" collapsed="false">
      <c r="A17" s="2" t="s">
        <v>13</v>
      </c>
    </row>
    <row r="18" customFormat="false" ht="30" hidden="false" customHeight="true" outlineLevel="0" collapsed="false">
      <c r="A18" s="2" t="s">
        <v>14</v>
      </c>
    </row>
    <row r="19" customFormat="false" ht="30" hidden="false" customHeight="true" outlineLevel="0" collapsed="false">
      <c r="A19" s="2" t="s">
        <v>15</v>
      </c>
    </row>
    <row r="20" customFormat="false" ht="6" hidden="false" customHeight="true" outlineLevel="0" collapsed="false">
      <c r="A20" s="2"/>
    </row>
    <row r="21" customFormat="false" ht="15" hidden="false" customHeight="false" outlineLevel="0" collapsed="false">
      <c r="A21" s="3" t="s">
        <v>16</v>
      </c>
    </row>
    <row r="22" customFormat="false" ht="30" hidden="false" customHeight="true" outlineLevel="0" collapsed="false">
      <c r="A22"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30"/>
    <col collapsed="false" customWidth="true" hidden="false" outlineLevel="0" max="4" min="4" style="0" width="32"/>
    <col collapsed="false" customWidth="true" hidden="false" outlineLevel="0" max="5" min="5" style="0" width="26"/>
    <col collapsed="false" customWidth="true" hidden="false" outlineLevel="0" max="6" min="6" style="0" width="30"/>
  </cols>
  <sheetData>
    <row r="1" customFormat="false" ht="18" hidden="false" customHeight="true" outlineLevel="0" collapsed="false">
      <c r="A1" s="4" t="s">
        <v>18</v>
      </c>
      <c r="B1" s="4" t="s">
        <v>19</v>
      </c>
      <c r="C1" s="4" t="s">
        <v>20</v>
      </c>
      <c r="D1" s="4" t="s">
        <v>21</v>
      </c>
      <c r="E1" s="4" t="s">
        <v>22</v>
      </c>
      <c r="F1" s="4" t="s">
        <v>23</v>
      </c>
    </row>
    <row r="2" customFormat="false" ht="18" hidden="false" customHeight="true" outlineLevel="0" collapsed="false">
      <c r="A2" s="5" t="s">
        <v>24</v>
      </c>
      <c r="B2" s="5" t="s">
        <v>25</v>
      </c>
      <c r="C2" s="5" t="s">
        <v>26</v>
      </c>
      <c r="D2" s="5" t="s">
        <v>27</v>
      </c>
      <c r="E2" s="5" t="s">
        <v>28</v>
      </c>
      <c r="F2" s="5" t="s">
        <v>29</v>
      </c>
    </row>
    <row r="3" customFormat="false" ht="18" hidden="false" customHeight="true" outlineLevel="0" collapsed="false"/>
    <row r="4" customFormat="false" ht="18" hidden="false" customHeight="true" outlineLevel="0" collapsed="false"/>
    <row r="5" customFormat="false" ht="18" hidden="false" customHeight="true" outlineLevel="0" collapsed="false"/>
    <row r="6" customFormat="false" ht="18" hidden="false" customHeight="true" outlineLevel="0" collapsed="false"/>
    <row r="7" customFormat="false" ht="18"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4" min="3" style="0" width="22"/>
    <col collapsed="false" customWidth="true" hidden="false" outlineLevel="0" max="5" min="5" style="0" width="55"/>
    <col collapsed="false" customWidth="true" hidden="false" outlineLevel="0" max="6" min="6" style="0" width="26"/>
    <col collapsed="false" customWidth="true" hidden="false" outlineLevel="0" max="7" min="7" style="0" width="20"/>
    <col collapsed="false" customWidth="true" hidden="false" outlineLevel="0" max="8" min="8" style="0" width="18"/>
    <col collapsed="false" customWidth="true" hidden="false" outlineLevel="0" max="9" min="9" style="0" width="20"/>
    <col collapsed="false" customWidth="true" hidden="false" outlineLevel="0" max="10" min="10" style="0" width="18"/>
    <col collapsed="false" customWidth="true" hidden="false" outlineLevel="0" max="11" min="11" style="0" width="20"/>
    <col collapsed="false" customWidth="true" hidden="false" outlineLevel="0" max="12" min="12" style="0" width="18"/>
    <col collapsed="false" customWidth="true" hidden="false" outlineLevel="0" max="13" min="13" style="0" width="45"/>
    <col collapsed="false" customWidth="true" hidden="false" outlineLevel="0" max="14" min="14" style="0" width="12"/>
    <col collapsed="false" customWidth="true" hidden="false" outlineLevel="0" max="15" min="15" style="0" width="18"/>
    <col collapsed="false" customWidth="true" hidden="false" outlineLevel="0" max="16" min="16" style="0" width="16"/>
  </cols>
  <sheetData>
    <row r="1" customFormat="false" ht="36" hidden="false" customHeight="true" outlineLevel="0" collapsed="false">
      <c r="A1" s="6" t="s">
        <v>30</v>
      </c>
      <c r="B1" s="6" t="s">
        <v>31</v>
      </c>
      <c r="C1" s="6" t="s">
        <v>32</v>
      </c>
      <c r="D1" s="6" t="s">
        <v>33</v>
      </c>
      <c r="E1" s="6" t="s">
        <v>34</v>
      </c>
      <c r="F1" s="6" t="s">
        <v>35</v>
      </c>
      <c r="G1" s="6" t="s">
        <v>36</v>
      </c>
      <c r="H1" s="6" t="s">
        <v>37</v>
      </c>
      <c r="I1" s="6" t="s">
        <v>38</v>
      </c>
      <c r="J1" s="6" t="s">
        <v>39</v>
      </c>
      <c r="K1" s="6" t="s">
        <v>40</v>
      </c>
      <c r="L1" s="6" t="s">
        <v>41</v>
      </c>
      <c r="M1" s="6" t="s">
        <v>42</v>
      </c>
      <c r="N1" s="6" t="s">
        <v>43</v>
      </c>
      <c r="O1" s="6" t="s">
        <v>44</v>
      </c>
      <c r="P1" s="6" t="s">
        <v>45</v>
      </c>
    </row>
    <row r="2" customFormat="false" ht="45" hidden="false" customHeight="true" outlineLevel="0" collapsed="false">
      <c r="A2" s="7" t="s">
        <v>46</v>
      </c>
      <c r="B2" s="7" t="s">
        <v>47</v>
      </c>
      <c r="C2" s="7" t="s">
        <v>48</v>
      </c>
      <c r="D2" s="7" t="s">
        <v>49</v>
      </c>
      <c r="E2" s="7" t="s">
        <v>50</v>
      </c>
      <c r="F2" s="7" t="s">
        <v>51</v>
      </c>
      <c r="G2" s="8"/>
      <c r="H2" s="8"/>
      <c r="I2" s="8"/>
      <c r="J2" s="8"/>
      <c r="K2" s="8"/>
      <c r="L2" s="8"/>
      <c r="M2" s="8"/>
      <c r="N2" s="8"/>
      <c r="O2" s="8"/>
      <c r="P2" s="8"/>
    </row>
    <row r="3" customFormat="false" ht="45" hidden="false" customHeight="true" outlineLevel="0" collapsed="false">
      <c r="A3" s="7" t="s">
        <v>52</v>
      </c>
      <c r="B3" s="7" t="s">
        <v>47</v>
      </c>
      <c r="C3" s="7" t="s">
        <v>53</v>
      </c>
      <c r="D3" s="7" t="s">
        <v>54</v>
      </c>
      <c r="E3" s="7" t="s">
        <v>55</v>
      </c>
      <c r="F3" s="7" t="s">
        <v>56</v>
      </c>
      <c r="G3" s="8"/>
      <c r="H3" s="8"/>
      <c r="I3" s="8"/>
      <c r="J3" s="8"/>
      <c r="K3" s="8"/>
      <c r="L3" s="8"/>
      <c r="M3" s="8"/>
      <c r="N3" s="8"/>
      <c r="O3" s="8"/>
      <c r="P3" s="8"/>
    </row>
    <row r="4" customFormat="false" ht="45" hidden="false" customHeight="true" outlineLevel="0" collapsed="false">
      <c r="A4" s="7" t="s">
        <v>57</v>
      </c>
      <c r="B4" s="7" t="s">
        <v>47</v>
      </c>
      <c r="C4" s="7" t="s">
        <v>58</v>
      </c>
      <c r="D4" s="7" t="s">
        <v>59</v>
      </c>
      <c r="E4" s="7" t="s">
        <v>60</v>
      </c>
      <c r="F4" s="7" t="s">
        <v>61</v>
      </c>
      <c r="G4" s="8"/>
      <c r="H4" s="8"/>
      <c r="I4" s="8"/>
      <c r="J4" s="8"/>
      <c r="K4" s="8"/>
      <c r="L4" s="8"/>
      <c r="M4" s="8"/>
      <c r="N4" s="8"/>
      <c r="O4" s="8"/>
      <c r="P4" s="8"/>
    </row>
    <row r="5" customFormat="false" ht="45" hidden="false" customHeight="true" outlineLevel="0" collapsed="false">
      <c r="A5" s="7" t="s">
        <v>62</v>
      </c>
      <c r="B5" s="7" t="s">
        <v>47</v>
      </c>
      <c r="C5" s="7" t="s">
        <v>63</v>
      </c>
      <c r="D5" s="7" t="s">
        <v>64</v>
      </c>
      <c r="E5" s="7" t="s">
        <v>65</v>
      </c>
      <c r="F5" s="7" t="s">
        <v>66</v>
      </c>
      <c r="G5" s="8"/>
      <c r="H5" s="8"/>
      <c r="I5" s="8"/>
      <c r="J5" s="8"/>
      <c r="K5" s="8"/>
      <c r="L5" s="8"/>
      <c r="M5" s="8"/>
      <c r="N5" s="8"/>
      <c r="O5" s="8"/>
      <c r="P5" s="8"/>
    </row>
    <row r="6" customFormat="false" ht="45" hidden="false" customHeight="true" outlineLevel="0" collapsed="false">
      <c r="A6" s="7" t="s">
        <v>67</v>
      </c>
      <c r="B6" s="7" t="s">
        <v>47</v>
      </c>
      <c r="C6" s="7" t="s">
        <v>68</v>
      </c>
      <c r="D6" s="7" t="s">
        <v>69</v>
      </c>
      <c r="E6" s="7" t="s">
        <v>70</v>
      </c>
      <c r="F6" s="7" t="s">
        <v>71</v>
      </c>
      <c r="G6" s="8"/>
      <c r="H6" s="8"/>
      <c r="I6" s="8"/>
      <c r="J6" s="8"/>
      <c r="K6" s="8"/>
      <c r="L6" s="8"/>
      <c r="M6" s="8"/>
      <c r="N6" s="8"/>
      <c r="O6" s="8"/>
      <c r="P6" s="8"/>
    </row>
    <row r="7" customFormat="false" ht="45" hidden="false" customHeight="true" outlineLevel="0" collapsed="false">
      <c r="A7" s="7" t="s">
        <v>72</v>
      </c>
      <c r="B7" s="7" t="s">
        <v>47</v>
      </c>
      <c r="C7" s="7" t="s">
        <v>73</v>
      </c>
      <c r="D7" s="7" t="s">
        <v>74</v>
      </c>
      <c r="E7" s="7" t="s">
        <v>75</v>
      </c>
      <c r="F7" s="7" t="s">
        <v>76</v>
      </c>
      <c r="G7" s="8"/>
      <c r="H7" s="8"/>
      <c r="I7" s="8"/>
      <c r="J7" s="8"/>
      <c r="K7" s="8"/>
      <c r="L7" s="8"/>
      <c r="M7" s="8"/>
      <c r="N7" s="8"/>
      <c r="O7" s="8"/>
      <c r="P7" s="8"/>
    </row>
    <row r="8" customFormat="false" ht="45" hidden="false" customHeight="true" outlineLevel="0" collapsed="false">
      <c r="A8" s="7" t="s">
        <v>77</v>
      </c>
      <c r="B8" s="7" t="s">
        <v>47</v>
      </c>
      <c r="C8" s="7" t="s">
        <v>78</v>
      </c>
      <c r="D8" s="7" t="s">
        <v>79</v>
      </c>
      <c r="E8" s="7" t="s">
        <v>80</v>
      </c>
      <c r="F8" s="7" t="s">
        <v>81</v>
      </c>
      <c r="G8" s="8"/>
      <c r="H8" s="8"/>
      <c r="I8" s="8"/>
      <c r="J8" s="8"/>
      <c r="K8" s="8"/>
      <c r="L8" s="8"/>
      <c r="M8" s="8"/>
      <c r="N8" s="8"/>
      <c r="O8" s="8"/>
      <c r="P8" s="8"/>
    </row>
    <row r="9" customFormat="false" ht="45" hidden="false" customHeight="true" outlineLevel="0" collapsed="false">
      <c r="A9" s="7" t="s">
        <v>82</v>
      </c>
      <c r="B9" s="7" t="s">
        <v>47</v>
      </c>
      <c r="C9" s="7" t="s">
        <v>83</v>
      </c>
      <c r="D9" s="7" t="s">
        <v>84</v>
      </c>
      <c r="E9" s="7" t="s">
        <v>85</v>
      </c>
      <c r="F9" s="7" t="s">
        <v>86</v>
      </c>
      <c r="G9" s="8"/>
      <c r="H9" s="8"/>
      <c r="I9" s="8"/>
      <c r="J9" s="8"/>
      <c r="K9" s="8"/>
      <c r="L9" s="8"/>
      <c r="M9" s="8"/>
      <c r="N9" s="8"/>
      <c r="O9" s="8"/>
      <c r="P9" s="8"/>
    </row>
    <row r="10" customFormat="false" ht="45" hidden="false" customHeight="true" outlineLevel="0" collapsed="false">
      <c r="A10" s="7" t="s">
        <v>87</v>
      </c>
      <c r="B10" s="7" t="s">
        <v>47</v>
      </c>
      <c r="C10" s="7" t="s">
        <v>88</v>
      </c>
      <c r="D10" s="7" t="s">
        <v>89</v>
      </c>
      <c r="E10" s="7" t="s">
        <v>90</v>
      </c>
      <c r="F10" s="7" t="s">
        <v>91</v>
      </c>
      <c r="G10" s="8"/>
      <c r="H10" s="8"/>
      <c r="I10" s="8"/>
      <c r="J10" s="8"/>
      <c r="K10" s="8"/>
      <c r="L10" s="8"/>
      <c r="M10" s="8"/>
      <c r="N10" s="8"/>
      <c r="O10" s="8"/>
      <c r="P10" s="8"/>
    </row>
    <row r="11" customFormat="false" ht="45" hidden="false" customHeight="true" outlineLevel="0" collapsed="false">
      <c r="A11" s="7" t="s">
        <v>92</v>
      </c>
      <c r="B11" s="7" t="s">
        <v>47</v>
      </c>
      <c r="C11" s="7" t="s">
        <v>93</v>
      </c>
      <c r="D11" s="7" t="s">
        <v>94</v>
      </c>
      <c r="E11" s="7" t="s">
        <v>95</v>
      </c>
      <c r="F11" s="7" t="s">
        <v>96</v>
      </c>
      <c r="G11" s="8"/>
      <c r="H11" s="8"/>
      <c r="I11" s="8"/>
      <c r="J11" s="8"/>
      <c r="K11" s="8"/>
      <c r="L11" s="8"/>
      <c r="M11" s="8"/>
      <c r="N11" s="8"/>
      <c r="O11" s="8"/>
      <c r="P11" s="8"/>
    </row>
    <row r="12" customFormat="false" ht="45" hidden="false" customHeight="true" outlineLevel="0" collapsed="false">
      <c r="A12" s="7" t="s">
        <v>97</v>
      </c>
      <c r="B12" s="7" t="s">
        <v>47</v>
      </c>
      <c r="C12" s="7" t="s">
        <v>98</v>
      </c>
      <c r="D12" s="7" t="s">
        <v>99</v>
      </c>
      <c r="E12" s="7" t="s">
        <v>100</v>
      </c>
      <c r="F12" s="7" t="s">
        <v>101</v>
      </c>
      <c r="G12" s="8"/>
      <c r="H12" s="8"/>
      <c r="I12" s="8"/>
      <c r="J12" s="8"/>
      <c r="K12" s="8"/>
      <c r="L12" s="8"/>
      <c r="M12" s="8"/>
      <c r="N12" s="8"/>
      <c r="O12" s="8"/>
      <c r="P12" s="8"/>
    </row>
    <row r="13" customFormat="false" ht="45" hidden="false" customHeight="true" outlineLevel="0" collapsed="false">
      <c r="A13" s="7" t="s">
        <v>102</v>
      </c>
      <c r="B13" s="7" t="s">
        <v>47</v>
      </c>
      <c r="C13" s="7" t="s">
        <v>103</v>
      </c>
      <c r="D13" s="7" t="s">
        <v>104</v>
      </c>
      <c r="E13" s="7" t="s">
        <v>105</v>
      </c>
      <c r="F13" s="7" t="s">
        <v>106</v>
      </c>
      <c r="G13" s="8"/>
      <c r="H13" s="8"/>
      <c r="I13" s="8"/>
      <c r="J13" s="8"/>
      <c r="K13" s="8"/>
      <c r="L13" s="8"/>
      <c r="M13" s="8"/>
      <c r="N13" s="8"/>
      <c r="O13" s="8"/>
      <c r="P13" s="8"/>
    </row>
    <row r="14" customFormat="false" ht="45" hidden="false" customHeight="true" outlineLevel="0" collapsed="false">
      <c r="A14" s="7" t="s">
        <v>107</v>
      </c>
      <c r="B14" s="7" t="s">
        <v>47</v>
      </c>
      <c r="C14" s="7" t="s">
        <v>108</v>
      </c>
      <c r="D14" s="7" t="s">
        <v>109</v>
      </c>
      <c r="E14" s="7" t="s">
        <v>110</v>
      </c>
      <c r="F14" s="7" t="s">
        <v>111</v>
      </c>
      <c r="G14" s="8"/>
      <c r="H14" s="8"/>
      <c r="I14" s="8"/>
      <c r="J14" s="8"/>
      <c r="K14" s="8"/>
      <c r="L14" s="8"/>
      <c r="M14" s="8"/>
      <c r="N14" s="8"/>
      <c r="O14" s="8"/>
      <c r="P14" s="8"/>
    </row>
    <row r="15" customFormat="false" ht="45" hidden="false" customHeight="true" outlineLevel="0" collapsed="false">
      <c r="A15" s="7" t="s">
        <v>112</v>
      </c>
      <c r="B15" s="7" t="s">
        <v>47</v>
      </c>
      <c r="C15" s="7" t="s">
        <v>113</v>
      </c>
      <c r="D15" s="7" t="s">
        <v>114</v>
      </c>
      <c r="E15" s="7" t="s">
        <v>115</v>
      </c>
      <c r="F15" s="7" t="s">
        <v>114</v>
      </c>
      <c r="G15" s="8"/>
      <c r="H15" s="8"/>
      <c r="I15" s="8"/>
      <c r="J15" s="8"/>
      <c r="K15" s="8"/>
      <c r="L15" s="8"/>
      <c r="M15" s="8"/>
      <c r="N15" s="8"/>
      <c r="O15" s="8"/>
      <c r="P15" s="8"/>
    </row>
    <row r="16" customFormat="false" ht="45" hidden="false" customHeight="true" outlineLevel="0" collapsed="false">
      <c r="A16" s="7" t="s">
        <v>116</v>
      </c>
      <c r="B16" s="7" t="s">
        <v>47</v>
      </c>
      <c r="C16" s="7" t="s">
        <v>117</v>
      </c>
      <c r="D16" s="7" t="s">
        <v>118</v>
      </c>
      <c r="E16" s="7" t="s">
        <v>119</v>
      </c>
      <c r="F16" s="7" t="s">
        <v>120</v>
      </c>
      <c r="G16" s="8"/>
      <c r="H16" s="8"/>
      <c r="I16" s="8"/>
      <c r="J16" s="8"/>
      <c r="K16" s="8"/>
      <c r="L16" s="8"/>
      <c r="M16" s="8"/>
      <c r="N16" s="8"/>
      <c r="O16" s="8"/>
      <c r="P16" s="8"/>
    </row>
    <row r="17" customFormat="false" ht="45" hidden="false" customHeight="true" outlineLevel="0" collapsed="false">
      <c r="A17" s="7" t="s">
        <v>121</v>
      </c>
      <c r="B17" s="7" t="s">
        <v>47</v>
      </c>
      <c r="C17" s="7" t="s">
        <v>122</v>
      </c>
      <c r="D17" s="7" t="s">
        <v>123</v>
      </c>
      <c r="E17" s="7" t="s">
        <v>124</v>
      </c>
      <c r="F17" s="7" t="s">
        <v>125</v>
      </c>
      <c r="G17" s="8"/>
      <c r="H17" s="8"/>
      <c r="I17" s="8"/>
      <c r="J17" s="8"/>
      <c r="K17" s="8"/>
      <c r="L17" s="8"/>
      <c r="M17" s="8"/>
      <c r="N17" s="8"/>
      <c r="O17" s="8"/>
      <c r="P17" s="8"/>
    </row>
    <row r="18" customFormat="false" ht="45" hidden="false" customHeight="true" outlineLevel="0" collapsed="false">
      <c r="A18" s="7" t="s">
        <v>126</v>
      </c>
      <c r="B18" s="7" t="s">
        <v>127</v>
      </c>
      <c r="C18" s="7" t="s">
        <v>128</v>
      </c>
      <c r="D18" s="7" t="s">
        <v>129</v>
      </c>
      <c r="E18" s="7" t="s">
        <v>130</v>
      </c>
      <c r="F18" s="7" t="s">
        <v>131</v>
      </c>
      <c r="G18" s="8"/>
      <c r="H18" s="8"/>
      <c r="I18" s="8"/>
      <c r="J18" s="8"/>
      <c r="K18" s="8"/>
      <c r="L18" s="8"/>
      <c r="M18" s="8"/>
      <c r="N18" s="8"/>
      <c r="O18" s="8"/>
      <c r="P18" s="8"/>
    </row>
    <row r="19" customFormat="false" ht="45" hidden="false" customHeight="true" outlineLevel="0" collapsed="false">
      <c r="A19" s="7" t="s">
        <v>132</v>
      </c>
      <c r="B19" s="7" t="s">
        <v>127</v>
      </c>
      <c r="C19" s="7" t="s">
        <v>133</v>
      </c>
      <c r="D19" s="7" t="s">
        <v>134</v>
      </c>
      <c r="E19" s="7" t="s">
        <v>135</v>
      </c>
      <c r="F19" s="7" t="s">
        <v>136</v>
      </c>
      <c r="G19" s="8"/>
      <c r="H19" s="8"/>
      <c r="I19" s="8"/>
      <c r="J19" s="8"/>
      <c r="K19" s="8"/>
      <c r="L19" s="8"/>
      <c r="M19" s="8"/>
      <c r="N19" s="8"/>
      <c r="O19" s="8"/>
      <c r="P19" s="8"/>
    </row>
    <row r="20" customFormat="false" ht="45" hidden="false" customHeight="true" outlineLevel="0" collapsed="false">
      <c r="A20" s="7" t="s">
        <v>137</v>
      </c>
      <c r="B20" s="7" t="s">
        <v>127</v>
      </c>
      <c r="C20" s="7" t="s">
        <v>138</v>
      </c>
      <c r="D20" s="7" t="s">
        <v>139</v>
      </c>
      <c r="E20" s="7" t="s">
        <v>140</v>
      </c>
      <c r="F20" s="7" t="s">
        <v>141</v>
      </c>
      <c r="G20" s="8"/>
      <c r="H20" s="8"/>
      <c r="I20" s="8"/>
      <c r="J20" s="8"/>
      <c r="K20" s="8"/>
      <c r="L20" s="8"/>
      <c r="M20" s="8"/>
      <c r="N20" s="8"/>
      <c r="O20" s="8"/>
      <c r="P20" s="8"/>
    </row>
    <row r="21" customFormat="false" ht="45" hidden="false" customHeight="true" outlineLevel="0" collapsed="false">
      <c r="A21" s="7" t="s">
        <v>142</v>
      </c>
      <c r="B21" s="7" t="s">
        <v>127</v>
      </c>
      <c r="C21" s="7" t="s">
        <v>143</v>
      </c>
      <c r="D21" s="7" t="s">
        <v>144</v>
      </c>
      <c r="E21" s="7" t="s">
        <v>145</v>
      </c>
      <c r="F21" s="7" t="s">
        <v>56</v>
      </c>
      <c r="G21" s="8"/>
      <c r="H21" s="8"/>
      <c r="I21" s="8"/>
      <c r="J21" s="8"/>
      <c r="K21" s="8"/>
      <c r="L21" s="8"/>
      <c r="M21" s="8"/>
      <c r="N21" s="8"/>
      <c r="O21" s="8"/>
      <c r="P21" s="8"/>
    </row>
    <row r="22" customFormat="false" ht="45" hidden="false" customHeight="true" outlineLevel="0" collapsed="false">
      <c r="A22" s="7" t="s">
        <v>146</v>
      </c>
      <c r="B22" s="7" t="s">
        <v>127</v>
      </c>
      <c r="C22" s="7" t="s">
        <v>147</v>
      </c>
      <c r="D22" s="7" t="s">
        <v>148</v>
      </c>
      <c r="E22" s="7" t="s">
        <v>149</v>
      </c>
      <c r="F22" s="7" t="s">
        <v>91</v>
      </c>
      <c r="G22" s="8"/>
      <c r="H22" s="8"/>
      <c r="I22" s="8"/>
      <c r="J22" s="8"/>
      <c r="K22" s="8"/>
      <c r="L22" s="8"/>
      <c r="M22" s="8"/>
      <c r="N22" s="8"/>
      <c r="O22" s="8"/>
      <c r="P22" s="8"/>
    </row>
    <row r="23" customFormat="false" ht="45" hidden="false" customHeight="true" outlineLevel="0" collapsed="false">
      <c r="A23" s="7" t="s">
        <v>150</v>
      </c>
      <c r="B23" s="7" t="s">
        <v>127</v>
      </c>
      <c r="C23" s="7" t="s">
        <v>151</v>
      </c>
      <c r="D23" s="7" t="s">
        <v>59</v>
      </c>
      <c r="E23" s="7" t="s">
        <v>152</v>
      </c>
      <c r="F23" s="7" t="s">
        <v>153</v>
      </c>
      <c r="G23" s="8"/>
      <c r="H23" s="8"/>
      <c r="I23" s="8"/>
      <c r="J23" s="8"/>
      <c r="K23" s="8"/>
      <c r="L23" s="8"/>
      <c r="M23" s="8"/>
      <c r="N23" s="8"/>
      <c r="O23" s="8"/>
      <c r="P23" s="8"/>
    </row>
    <row r="24" customFormat="false" ht="45" hidden="false" customHeight="true" outlineLevel="0" collapsed="false">
      <c r="A24" s="7" t="s">
        <v>154</v>
      </c>
      <c r="B24" s="7" t="s">
        <v>127</v>
      </c>
      <c r="C24" s="7" t="s">
        <v>155</v>
      </c>
      <c r="D24" s="7" t="s">
        <v>156</v>
      </c>
      <c r="E24" s="7" t="s">
        <v>157</v>
      </c>
      <c r="F24" s="7" t="s">
        <v>158</v>
      </c>
      <c r="G24" s="8"/>
      <c r="H24" s="8"/>
      <c r="I24" s="8"/>
      <c r="J24" s="8"/>
      <c r="K24" s="8"/>
      <c r="L24" s="8"/>
      <c r="M24" s="8"/>
      <c r="N24" s="8"/>
      <c r="O24" s="8"/>
      <c r="P24" s="8"/>
    </row>
    <row r="25" customFormat="false" ht="45" hidden="false" customHeight="true" outlineLevel="0" collapsed="false">
      <c r="A25" s="7" t="s">
        <v>159</v>
      </c>
      <c r="B25" s="7" t="s">
        <v>127</v>
      </c>
      <c r="C25" s="7" t="s">
        <v>160</v>
      </c>
      <c r="D25" s="7" t="s">
        <v>161</v>
      </c>
      <c r="E25" s="7" t="s">
        <v>162</v>
      </c>
      <c r="F25" s="7" t="s">
        <v>163</v>
      </c>
      <c r="G25" s="8"/>
      <c r="H25" s="8"/>
      <c r="I25" s="8"/>
      <c r="J25" s="8"/>
      <c r="K25" s="8"/>
      <c r="L25" s="8"/>
      <c r="M25" s="8"/>
      <c r="N25" s="8"/>
      <c r="O25" s="8"/>
      <c r="P25" s="8"/>
    </row>
    <row r="26" customFormat="false" ht="45" hidden="false" customHeight="true" outlineLevel="0" collapsed="false">
      <c r="A26" s="7" t="s">
        <v>164</v>
      </c>
      <c r="B26" s="7" t="s">
        <v>127</v>
      </c>
      <c r="C26" s="7" t="s">
        <v>165</v>
      </c>
      <c r="D26" s="7" t="s">
        <v>69</v>
      </c>
      <c r="E26" s="7" t="s">
        <v>166</v>
      </c>
      <c r="F26" s="7" t="s">
        <v>71</v>
      </c>
      <c r="G26" s="8"/>
      <c r="H26" s="8"/>
      <c r="I26" s="8"/>
      <c r="J26" s="8"/>
      <c r="K26" s="8"/>
      <c r="L26" s="8"/>
      <c r="M26" s="8"/>
      <c r="N26" s="8"/>
      <c r="O26" s="8"/>
      <c r="P26" s="8"/>
    </row>
    <row r="27" customFormat="false" ht="45" hidden="false" customHeight="true" outlineLevel="0" collapsed="false">
      <c r="A27" s="7" t="s">
        <v>167</v>
      </c>
      <c r="B27" s="7" t="s">
        <v>127</v>
      </c>
      <c r="C27" s="7" t="s">
        <v>168</v>
      </c>
      <c r="D27" s="7" t="s">
        <v>169</v>
      </c>
      <c r="E27" s="7" t="s">
        <v>170</v>
      </c>
      <c r="F27" s="7" t="s">
        <v>171</v>
      </c>
      <c r="G27" s="8"/>
      <c r="H27" s="8"/>
      <c r="I27" s="8"/>
      <c r="J27" s="8"/>
      <c r="K27" s="8"/>
      <c r="L27" s="8"/>
      <c r="M27" s="8"/>
      <c r="N27" s="8"/>
      <c r="O27" s="8"/>
      <c r="P27" s="8"/>
    </row>
    <row r="28" customFormat="false" ht="45" hidden="false" customHeight="true" outlineLevel="0" collapsed="false">
      <c r="A28" s="7" t="s">
        <v>172</v>
      </c>
      <c r="B28" s="7" t="s">
        <v>127</v>
      </c>
      <c r="C28" s="7" t="s">
        <v>173</v>
      </c>
      <c r="D28" s="7" t="s">
        <v>174</v>
      </c>
      <c r="E28" s="7" t="s">
        <v>175</v>
      </c>
      <c r="F28" s="7" t="s">
        <v>96</v>
      </c>
      <c r="G28" s="8"/>
      <c r="H28" s="8"/>
      <c r="I28" s="8"/>
      <c r="J28" s="8"/>
      <c r="K28" s="8"/>
      <c r="L28" s="8"/>
      <c r="M28" s="8"/>
      <c r="N28" s="8"/>
      <c r="O28" s="8"/>
      <c r="P28" s="8"/>
    </row>
    <row r="29" customFormat="false" ht="45" hidden="false" customHeight="true" outlineLevel="0" collapsed="false">
      <c r="A29" s="7" t="s">
        <v>176</v>
      </c>
      <c r="B29" s="7" t="s">
        <v>127</v>
      </c>
      <c r="C29" s="7" t="s">
        <v>177</v>
      </c>
      <c r="D29" s="7" t="s">
        <v>178</v>
      </c>
      <c r="E29" s="7" t="s">
        <v>179</v>
      </c>
      <c r="F29" s="7" t="s">
        <v>81</v>
      </c>
      <c r="G29" s="8"/>
      <c r="H29" s="8"/>
      <c r="I29" s="8"/>
      <c r="J29" s="8"/>
      <c r="K29" s="8"/>
      <c r="L29" s="8"/>
      <c r="M29" s="8"/>
      <c r="N29" s="8"/>
      <c r="O29" s="8"/>
      <c r="P29" s="8"/>
    </row>
    <row r="30" customFormat="false" ht="45" hidden="false" customHeight="true" outlineLevel="0" collapsed="false">
      <c r="A30" s="7" t="s">
        <v>180</v>
      </c>
      <c r="B30" s="7" t="s">
        <v>127</v>
      </c>
      <c r="C30" s="7" t="s">
        <v>181</v>
      </c>
      <c r="D30" s="7" t="s">
        <v>182</v>
      </c>
      <c r="E30" s="7" t="s">
        <v>183</v>
      </c>
      <c r="F30" s="7" t="s">
        <v>184</v>
      </c>
      <c r="G30" s="8"/>
      <c r="H30" s="8"/>
      <c r="I30" s="8"/>
      <c r="J30" s="8"/>
      <c r="K30" s="8"/>
      <c r="L30" s="8"/>
      <c r="M30" s="8"/>
      <c r="N30" s="8"/>
      <c r="O30" s="8"/>
      <c r="P30" s="8"/>
    </row>
    <row r="31" customFormat="false" ht="45" hidden="false" customHeight="true" outlineLevel="0" collapsed="false">
      <c r="A31" s="7" t="s">
        <v>185</v>
      </c>
      <c r="B31" s="7" t="s">
        <v>186</v>
      </c>
      <c r="C31" s="7" t="s">
        <v>187</v>
      </c>
      <c r="D31" s="7" t="s">
        <v>188</v>
      </c>
      <c r="E31" s="7" t="s">
        <v>189</v>
      </c>
      <c r="F31" s="7" t="s">
        <v>190</v>
      </c>
      <c r="G31" s="8"/>
      <c r="H31" s="8"/>
      <c r="I31" s="8"/>
      <c r="J31" s="8"/>
      <c r="K31" s="8"/>
      <c r="L31" s="8"/>
      <c r="M31" s="8"/>
      <c r="N31" s="8"/>
      <c r="O31" s="8"/>
      <c r="P31" s="8"/>
    </row>
    <row r="32" customFormat="false" ht="45" hidden="false" customHeight="true" outlineLevel="0" collapsed="false">
      <c r="A32" s="7" t="s">
        <v>191</v>
      </c>
      <c r="B32" s="7" t="s">
        <v>186</v>
      </c>
      <c r="C32" s="7" t="s">
        <v>192</v>
      </c>
      <c r="D32" s="7" t="s">
        <v>193</v>
      </c>
      <c r="E32" s="7" t="s">
        <v>194</v>
      </c>
      <c r="F32" s="7" t="s">
        <v>61</v>
      </c>
      <c r="G32" s="8"/>
      <c r="H32" s="8"/>
      <c r="I32" s="8"/>
      <c r="J32" s="8"/>
      <c r="K32" s="8"/>
      <c r="L32" s="8"/>
      <c r="M32" s="8"/>
      <c r="N32" s="8"/>
      <c r="O32" s="8"/>
      <c r="P32" s="8"/>
    </row>
    <row r="33" customFormat="false" ht="45" hidden="false" customHeight="true" outlineLevel="0" collapsed="false">
      <c r="A33" s="7" t="s">
        <v>195</v>
      </c>
      <c r="B33" s="7" t="s">
        <v>186</v>
      </c>
      <c r="C33" s="7" t="s">
        <v>143</v>
      </c>
      <c r="D33" s="7" t="s">
        <v>196</v>
      </c>
      <c r="E33" s="7" t="s">
        <v>197</v>
      </c>
      <c r="F33" s="7" t="s">
        <v>198</v>
      </c>
      <c r="G33" s="8"/>
      <c r="H33" s="8"/>
      <c r="I33" s="8"/>
      <c r="J33" s="8"/>
      <c r="K33" s="8"/>
      <c r="L33" s="8"/>
      <c r="M33" s="8"/>
      <c r="N33" s="8"/>
      <c r="O33" s="8"/>
      <c r="P33" s="8"/>
    </row>
    <row r="34" customFormat="false" ht="45" hidden="false" customHeight="true" outlineLevel="0" collapsed="false">
      <c r="A34" s="7" t="s">
        <v>199</v>
      </c>
      <c r="B34" s="7" t="s">
        <v>186</v>
      </c>
      <c r="C34" s="7" t="s">
        <v>200</v>
      </c>
      <c r="D34" s="7" t="s">
        <v>201</v>
      </c>
      <c r="E34" s="7" t="s">
        <v>202</v>
      </c>
      <c r="F34" s="7" t="s">
        <v>203</v>
      </c>
      <c r="G34" s="8"/>
      <c r="H34" s="8"/>
      <c r="I34" s="8"/>
      <c r="J34" s="8"/>
      <c r="K34" s="8"/>
      <c r="L34" s="8"/>
      <c r="M34" s="8"/>
      <c r="N34" s="8"/>
      <c r="O34" s="8"/>
      <c r="P34" s="8"/>
    </row>
    <row r="35" customFormat="false" ht="45" hidden="false" customHeight="true" outlineLevel="0" collapsed="false">
      <c r="A35" s="7" t="s">
        <v>204</v>
      </c>
      <c r="B35" s="7" t="s">
        <v>205</v>
      </c>
      <c r="C35" s="7" t="s">
        <v>206</v>
      </c>
      <c r="D35" s="7" t="s">
        <v>207</v>
      </c>
      <c r="E35" s="7" t="s">
        <v>208</v>
      </c>
      <c r="F35" s="7" t="s">
        <v>209</v>
      </c>
      <c r="G35" s="8"/>
      <c r="H35" s="8"/>
      <c r="I35" s="8"/>
      <c r="J35" s="8"/>
      <c r="K35" s="8"/>
      <c r="L35" s="8"/>
      <c r="M35" s="8"/>
      <c r="N35" s="8"/>
      <c r="O35" s="8"/>
      <c r="P35" s="8"/>
    </row>
    <row r="36" customFormat="false" ht="45" hidden="false" customHeight="true" outlineLevel="0" collapsed="false">
      <c r="A36" s="7" t="s">
        <v>210</v>
      </c>
      <c r="B36" s="7" t="s">
        <v>211</v>
      </c>
      <c r="C36" s="7" t="s">
        <v>212</v>
      </c>
      <c r="D36" s="7" t="s">
        <v>213</v>
      </c>
      <c r="E36" s="7" t="s">
        <v>214</v>
      </c>
      <c r="F36" s="7" t="s">
        <v>215</v>
      </c>
      <c r="G36" s="8"/>
      <c r="H36" s="8"/>
      <c r="I36" s="8"/>
      <c r="J36" s="8"/>
      <c r="K36" s="8"/>
      <c r="L36" s="8"/>
      <c r="M36" s="8"/>
      <c r="N36" s="8"/>
      <c r="O36" s="8"/>
      <c r="P36" s="8"/>
    </row>
    <row r="37" customFormat="false" ht="45" hidden="false" customHeight="true" outlineLevel="0" collapsed="false">
      <c r="A37" s="7" t="s">
        <v>216</v>
      </c>
      <c r="B37" s="7" t="s">
        <v>217</v>
      </c>
      <c r="C37" s="7" t="s">
        <v>133</v>
      </c>
      <c r="D37" s="7" t="s">
        <v>218</v>
      </c>
      <c r="E37" s="7" t="s">
        <v>219</v>
      </c>
      <c r="F37" s="7" t="s">
        <v>51</v>
      </c>
      <c r="G37" s="8"/>
      <c r="H37" s="8"/>
      <c r="I37" s="8"/>
      <c r="J37" s="8"/>
      <c r="K37" s="8"/>
      <c r="L37" s="8"/>
      <c r="M37" s="8"/>
      <c r="N37" s="8"/>
      <c r="O37" s="8"/>
      <c r="P37" s="8"/>
    </row>
    <row r="38" customFormat="false" ht="45" hidden="false" customHeight="true" outlineLevel="0" collapsed="false">
      <c r="A38" s="7" t="s">
        <v>220</v>
      </c>
      <c r="B38" s="7" t="s">
        <v>217</v>
      </c>
      <c r="C38" s="7" t="s">
        <v>192</v>
      </c>
      <c r="D38" s="7" t="s">
        <v>221</v>
      </c>
      <c r="E38" s="7" t="s">
        <v>222</v>
      </c>
      <c r="F38" s="7" t="s">
        <v>223</v>
      </c>
      <c r="G38" s="8"/>
      <c r="H38" s="8"/>
      <c r="I38" s="8"/>
      <c r="J38" s="8"/>
      <c r="K38" s="8"/>
      <c r="L38" s="8"/>
      <c r="M38" s="8"/>
      <c r="N38" s="8"/>
      <c r="O38" s="8"/>
      <c r="P38" s="8"/>
    </row>
    <row r="39" customFormat="false" ht="45" hidden="false" customHeight="true" outlineLevel="0" collapsed="false">
      <c r="A39" s="7" t="s">
        <v>224</v>
      </c>
      <c r="B39" s="7" t="s">
        <v>217</v>
      </c>
      <c r="C39" s="7" t="s">
        <v>143</v>
      </c>
      <c r="D39" s="7" t="s">
        <v>225</v>
      </c>
      <c r="E39" s="7" t="s">
        <v>226</v>
      </c>
      <c r="F39" s="7" t="s">
        <v>163</v>
      </c>
      <c r="G39" s="8"/>
      <c r="H39" s="8"/>
      <c r="I39" s="8"/>
      <c r="J39" s="8"/>
      <c r="K39" s="8"/>
      <c r="L39" s="8"/>
      <c r="M39" s="8"/>
      <c r="N39" s="8"/>
      <c r="O39" s="8"/>
      <c r="P39" s="8"/>
    </row>
    <row r="40" customFormat="false" ht="45" hidden="false" customHeight="true" outlineLevel="0" collapsed="false">
      <c r="A40" s="7" t="s">
        <v>227</v>
      </c>
      <c r="B40" s="7" t="s">
        <v>217</v>
      </c>
      <c r="C40" s="7" t="s">
        <v>147</v>
      </c>
      <c r="D40" s="7" t="s">
        <v>69</v>
      </c>
      <c r="E40" s="7" t="s">
        <v>228</v>
      </c>
      <c r="F40" s="7" t="s">
        <v>71</v>
      </c>
      <c r="G40" s="8"/>
      <c r="H40" s="8"/>
      <c r="I40" s="8"/>
      <c r="J40" s="8"/>
      <c r="K40" s="8"/>
      <c r="L40" s="8"/>
      <c r="M40" s="8"/>
      <c r="N40" s="8"/>
      <c r="O40" s="8"/>
      <c r="P40" s="8"/>
    </row>
    <row r="41" customFormat="false" ht="45" hidden="false" customHeight="true" outlineLevel="0" collapsed="false">
      <c r="A41" s="7" t="s">
        <v>229</v>
      </c>
      <c r="B41" s="7" t="s">
        <v>217</v>
      </c>
      <c r="C41" s="7" t="s">
        <v>212</v>
      </c>
      <c r="D41" s="7" t="s">
        <v>84</v>
      </c>
      <c r="E41" s="7" t="s">
        <v>230</v>
      </c>
      <c r="F41" s="7" t="s">
        <v>91</v>
      </c>
      <c r="G41" s="8"/>
      <c r="H41" s="8"/>
      <c r="I41" s="8"/>
      <c r="J41" s="8"/>
      <c r="K41" s="8"/>
      <c r="L41" s="8"/>
      <c r="M41" s="8"/>
      <c r="N41" s="8"/>
      <c r="O41" s="8"/>
      <c r="P41" s="8"/>
    </row>
    <row r="42" customFormat="false" ht="45" hidden="false" customHeight="true" outlineLevel="0" collapsed="false">
      <c r="A42" s="7" t="s">
        <v>231</v>
      </c>
      <c r="B42" s="7" t="s">
        <v>217</v>
      </c>
      <c r="C42" s="7" t="s">
        <v>151</v>
      </c>
      <c r="D42" s="7" t="s">
        <v>182</v>
      </c>
      <c r="E42" s="7" t="s">
        <v>232</v>
      </c>
      <c r="F42" s="7" t="s">
        <v>106</v>
      </c>
      <c r="G42" s="8"/>
      <c r="H42" s="8"/>
      <c r="I42" s="8"/>
      <c r="J42" s="8"/>
      <c r="K42" s="8"/>
      <c r="L42" s="8"/>
      <c r="M42" s="8"/>
      <c r="N42" s="8"/>
      <c r="O42" s="8"/>
      <c r="P42" s="8"/>
    </row>
  </sheetData>
  <conditionalFormatting sqref="H2:H42">
    <cfRule type="cellIs" priority="2" operator="equal" aboveAverage="0" equalAverage="0" bottom="0" percent="0" rank="0" text="" dxfId="0">
      <formula>"Covered"</formula>
    </cfRule>
    <cfRule type="cellIs" priority="3" operator="equal" aboveAverage="0" equalAverage="0" bottom="0" percent="0" rank="0" text="" dxfId="1">
      <formula>"Partially Covered"</formula>
    </cfRule>
    <cfRule type="cellIs" priority="4" operator="equal" aboveAverage="0" equalAverage="0" bottom="0" percent="0" rank="0" text="" dxfId="2">
      <formula>"Not Covered"</formula>
    </cfRule>
    <cfRule type="cellIs" priority="5" operator="equal" aboveAverage="0" equalAverage="0" bottom="0" percent="0" rank="0" text="" dxfId="3">
      <formula>"SOP Missing"</formula>
    </cfRule>
  </conditionalFormatting>
  <conditionalFormatting sqref="J2:J42">
    <cfRule type="cellIs" priority="6" operator="equal" aboveAverage="0" equalAverage="0" bottom="0" percent="0" rank="0" text="" dxfId="0">
      <formula>"Covered"</formula>
    </cfRule>
    <cfRule type="cellIs" priority="7" operator="equal" aboveAverage="0" equalAverage="0" bottom="0" percent="0" rank="0" text="" dxfId="1">
      <formula>"Partially Covered"</formula>
    </cfRule>
    <cfRule type="cellIs" priority="8" operator="equal" aboveAverage="0" equalAverage="0" bottom="0" percent="0" rank="0" text="" dxfId="2">
      <formula>"Not Covered"</formula>
    </cfRule>
    <cfRule type="cellIs" priority="9" operator="equal" aboveAverage="0" equalAverage="0" bottom="0" percent="0" rank="0" text="" dxfId="3">
      <formula>"SOP Missing"</formula>
    </cfRule>
  </conditionalFormatting>
  <conditionalFormatting sqref="L2:L42">
    <cfRule type="cellIs" priority="10" operator="equal" aboveAverage="0" equalAverage="0" bottom="0" percent="0" rank="0" text="" dxfId="0">
      <formula>"Covered"</formula>
    </cfRule>
    <cfRule type="cellIs" priority="11" operator="equal" aboveAverage="0" equalAverage="0" bottom="0" percent="0" rank="0" text="" dxfId="1">
      <formula>"Partially Covered"</formula>
    </cfRule>
    <cfRule type="cellIs" priority="12" operator="equal" aboveAverage="0" equalAverage="0" bottom="0" percent="0" rank="0" text="" dxfId="2">
      <formula>"Not Covered"</formula>
    </cfRule>
    <cfRule type="cellIs" priority="13" operator="equal" aboveAverage="0" equalAverage="0" bottom="0" percent="0" rank="0" text="" dxfId="3">
      <formula>"SOP Missing"</formula>
    </cfRule>
  </conditionalFormatting>
  <dataValidations count="2">
    <dataValidation allowBlank="true" errorStyle="stop" operator="between" showDropDown="false" showErrorMessage="false" showInputMessage="false" sqref="H2:H42 J2:J42 L2:L42" type="list">
      <formula1>"Covered,Partially Covered,Not Covered,SOP Missing"</formula1>
      <formula2>0</formula2>
    </dataValidation>
    <dataValidation allowBlank="true" errorStyle="stop" operator="between" showDropDown="false" showErrorMessage="false" showInputMessage="false" sqref="N2:N42" type="list">
      <formula1>"Critical,Major,Minor"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5" min="3" style="0" width="32"/>
    <col collapsed="false" customWidth="true" hidden="false" outlineLevel="0" max="6" min="6" style="0" width="16"/>
    <col collapsed="false" customWidth="true" hidden="false" outlineLevel="0" max="7" min="7" style="0" width="26"/>
    <col collapsed="false" customWidth="true" hidden="false" outlineLevel="0" max="8" min="8" style="0" width="34"/>
  </cols>
  <sheetData>
    <row r="1" customFormat="false" ht="33.75" hidden="false" customHeight="true" outlineLevel="0" collapsed="false">
      <c r="A1" s="6" t="s">
        <v>233</v>
      </c>
      <c r="B1" s="6" t="s">
        <v>234</v>
      </c>
      <c r="C1" s="6" t="s">
        <v>235</v>
      </c>
      <c r="D1" s="6" t="s">
        <v>236</v>
      </c>
      <c r="E1" s="6" t="s">
        <v>237</v>
      </c>
      <c r="F1" s="6" t="s">
        <v>238</v>
      </c>
      <c r="G1" s="6" t="s">
        <v>239</v>
      </c>
      <c r="H1" s="6" t="s">
        <v>240</v>
      </c>
    </row>
    <row r="2" customFormat="false" ht="39.75" hidden="false" customHeight="true" outlineLevel="0" collapsed="false">
      <c r="A2" s="9" t="s">
        <v>81</v>
      </c>
      <c r="B2" s="9" t="s">
        <v>241</v>
      </c>
      <c r="C2" s="9" t="s">
        <v>242</v>
      </c>
      <c r="D2" s="9" t="s">
        <v>243</v>
      </c>
      <c r="E2" s="9" t="s">
        <v>242</v>
      </c>
      <c r="F2" s="9" t="s">
        <v>244</v>
      </c>
      <c r="G2" s="9" t="s">
        <v>245</v>
      </c>
      <c r="H2" s="9" t="s">
        <v>246</v>
      </c>
    </row>
    <row r="3" customFormat="false" ht="30" hidden="false" customHeight="true" outlineLevel="0" collapsed="false">
      <c r="A3" s="10"/>
      <c r="B3" s="10"/>
      <c r="C3" s="10"/>
      <c r="D3" s="10"/>
      <c r="E3" s="10"/>
      <c r="F3" s="10"/>
      <c r="G3" s="10"/>
      <c r="H3" s="10"/>
    </row>
    <row r="4" customFormat="false" ht="30" hidden="false" customHeight="true" outlineLevel="0" collapsed="false">
      <c r="A4" s="10"/>
      <c r="B4" s="10"/>
      <c r="C4" s="10"/>
      <c r="D4" s="10"/>
      <c r="E4" s="10"/>
      <c r="F4" s="10"/>
      <c r="G4" s="10"/>
      <c r="H4" s="10"/>
    </row>
    <row r="5" customFormat="false" ht="30" hidden="false" customHeight="true" outlineLevel="0" collapsed="false">
      <c r="A5" s="10"/>
      <c r="B5" s="10"/>
      <c r="C5" s="10"/>
      <c r="D5" s="10"/>
      <c r="E5" s="10"/>
      <c r="F5" s="10"/>
      <c r="G5" s="10"/>
      <c r="H5" s="10"/>
    </row>
    <row r="6" customFormat="false" ht="30" hidden="false" customHeight="true" outlineLevel="0" collapsed="false">
      <c r="A6" s="10"/>
      <c r="B6" s="10"/>
      <c r="C6" s="10"/>
      <c r="D6" s="10"/>
      <c r="E6" s="10"/>
      <c r="F6" s="10"/>
      <c r="G6" s="10"/>
      <c r="H6" s="10"/>
    </row>
    <row r="7" customFormat="false" ht="30" hidden="false" customHeight="true" outlineLevel="0" collapsed="false">
      <c r="A7" s="10"/>
      <c r="B7" s="10"/>
      <c r="C7" s="10"/>
      <c r="D7" s="10"/>
      <c r="E7" s="10"/>
      <c r="F7" s="10"/>
      <c r="G7" s="10"/>
      <c r="H7" s="10"/>
    </row>
    <row r="8" customFormat="false" ht="30" hidden="false" customHeight="true" outlineLevel="0" collapsed="false">
      <c r="A8" s="10"/>
      <c r="B8" s="10"/>
      <c r="C8" s="10"/>
      <c r="D8" s="10"/>
      <c r="E8" s="10"/>
      <c r="F8" s="10"/>
      <c r="G8" s="10"/>
      <c r="H8" s="10"/>
    </row>
    <row r="9" customFormat="false" ht="30" hidden="false" customHeight="true" outlineLevel="0" collapsed="false">
      <c r="A9" s="10"/>
      <c r="B9" s="10"/>
      <c r="C9" s="10"/>
      <c r="D9" s="10"/>
      <c r="E9" s="10"/>
      <c r="F9" s="10"/>
      <c r="G9" s="10"/>
      <c r="H9" s="10"/>
    </row>
    <row r="10" customFormat="false" ht="30" hidden="false" customHeight="true" outlineLevel="0" collapsed="false">
      <c r="A10" s="10"/>
      <c r="B10" s="10"/>
      <c r="C10" s="10"/>
      <c r="D10" s="10"/>
      <c r="E10" s="10"/>
      <c r="F10" s="10"/>
      <c r="G10" s="10"/>
      <c r="H10" s="10"/>
    </row>
    <row r="11" customFormat="false" ht="30" hidden="false" customHeight="true" outlineLevel="0" collapsed="false">
      <c r="A11" s="10"/>
      <c r="B11" s="10"/>
      <c r="C11" s="10"/>
      <c r="D11" s="10"/>
      <c r="E11" s="10"/>
      <c r="F11" s="10"/>
      <c r="G11" s="10"/>
      <c r="H11" s="10"/>
    </row>
    <row r="12" customFormat="false" ht="30" hidden="false" customHeight="true" outlineLevel="0" collapsed="false">
      <c r="A12" s="10"/>
      <c r="B12" s="10"/>
      <c r="C12" s="10"/>
      <c r="D12" s="10"/>
      <c r="E12" s="10"/>
      <c r="F12" s="10"/>
      <c r="G12" s="10"/>
      <c r="H12" s="10"/>
    </row>
    <row r="13" customFormat="false" ht="30" hidden="false" customHeight="true" outlineLevel="0" collapsed="false">
      <c r="A13" s="10"/>
      <c r="B13" s="10"/>
      <c r="C13" s="10"/>
      <c r="D13" s="10"/>
      <c r="E13" s="10"/>
      <c r="F13" s="10"/>
      <c r="G13" s="10"/>
      <c r="H13" s="10"/>
    </row>
    <row r="14" customFormat="false" ht="30" hidden="false" customHeight="true" outlineLevel="0" collapsed="false">
      <c r="A14" s="10"/>
      <c r="B14" s="10"/>
      <c r="C14" s="10"/>
      <c r="D14" s="10"/>
      <c r="E14" s="10"/>
      <c r="F14" s="10"/>
      <c r="G14" s="10"/>
      <c r="H14" s="10"/>
    </row>
    <row r="15" customFormat="false" ht="30" hidden="false" customHeight="true" outlineLevel="0" collapsed="false">
      <c r="A15" s="10"/>
      <c r="B15" s="10"/>
      <c r="C15" s="10"/>
      <c r="D15" s="10"/>
      <c r="E15" s="10"/>
      <c r="F15" s="10"/>
      <c r="G15" s="10"/>
      <c r="H15" s="10"/>
    </row>
    <row r="16" customFormat="false" ht="30" hidden="false" customHeight="true" outlineLevel="0" collapsed="false">
      <c r="A16" s="10"/>
      <c r="B16" s="10"/>
      <c r="C16" s="10"/>
      <c r="D16" s="10"/>
      <c r="E16" s="10"/>
      <c r="F16" s="10"/>
      <c r="G16" s="10"/>
      <c r="H16" s="10"/>
    </row>
    <row r="17" customFormat="false" ht="30" hidden="false" customHeight="true" outlineLevel="0" collapsed="false">
      <c r="A17" s="10"/>
      <c r="B17" s="10"/>
      <c r="C17" s="10"/>
      <c r="D17" s="10"/>
      <c r="E17" s="10"/>
      <c r="F17" s="10"/>
      <c r="G17" s="10"/>
      <c r="H17" s="10"/>
    </row>
    <row r="18" customFormat="false" ht="30" hidden="false" customHeight="true" outlineLevel="0" collapsed="false">
      <c r="A18" s="10"/>
      <c r="B18" s="10"/>
      <c r="C18" s="10"/>
      <c r="D18" s="10"/>
      <c r="E18" s="10"/>
      <c r="F18" s="10"/>
      <c r="G18" s="10"/>
      <c r="H18" s="10"/>
    </row>
    <row r="19" customFormat="false" ht="30" hidden="false" customHeight="true" outlineLevel="0" collapsed="false">
      <c r="A19" s="10"/>
      <c r="B19" s="10"/>
      <c r="C19" s="10"/>
      <c r="D19" s="10"/>
      <c r="E19" s="10"/>
      <c r="F19" s="10"/>
      <c r="G19" s="10"/>
      <c r="H19" s="10"/>
    </row>
    <row r="20" customFormat="false" ht="30" hidden="false" customHeight="true" outlineLevel="0" collapsed="false">
      <c r="A20" s="10"/>
      <c r="B20" s="10"/>
      <c r="C20" s="10"/>
      <c r="D20" s="10"/>
      <c r="E20" s="10"/>
      <c r="F20" s="10"/>
      <c r="G20" s="10"/>
      <c r="H20" s="10"/>
    </row>
    <row r="21" customFormat="false" ht="30" hidden="false" customHeight="true" outlineLevel="0" collapsed="false">
      <c r="A21" s="10"/>
      <c r="B21" s="10"/>
      <c r="C21" s="10"/>
      <c r="D21" s="10"/>
      <c r="E21" s="10"/>
      <c r="F21" s="10"/>
      <c r="G21" s="10"/>
      <c r="H21" s="10"/>
    </row>
    <row r="22" customFormat="false" ht="30" hidden="false" customHeight="true" outlineLevel="0" collapsed="false">
      <c r="A22" s="10"/>
      <c r="B22" s="10"/>
      <c r="C22" s="10"/>
      <c r="D22" s="10"/>
      <c r="E22" s="10"/>
      <c r="F22" s="10"/>
      <c r="G22" s="10"/>
      <c r="H22" s="10"/>
    </row>
    <row r="23" customFormat="false" ht="30" hidden="false" customHeight="true" outlineLevel="0" collapsed="false">
      <c r="A23" s="10"/>
      <c r="B23" s="10"/>
      <c r="C23" s="10"/>
      <c r="D23" s="10"/>
      <c r="E23" s="10"/>
      <c r="F23" s="10"/>
      <c r="G23" s="10"/>
      <c r="H23" s="10"/>
    </row>
    <row r="24" customFormat="false" ht="30" hidden="false" customHeight="true" outlineLevel="0" collapsed="false">
      <c r="A24" s="10"/>
      <c r="B24" s="10"/>
      <c r="C24" s="10"/>
      <c r="D24" s="10"/>
      <c r="E24" s="10"/>
      <c r="F24" s="10"/>
      <c r="G24" s="10"/>
      <c r="H24" s="10"/>
    </row>
    <row r="25" customFormat="false" ht="30" hidden="false" customHeight="true" outlineLevel="0" collapsed="false">
      <c r="A25" s="10"/>
      <c r="B25" s="10"/>
      <c r="C25" s="10"/>
      <c r="D25" s="10"/>
      <c r="E25" s="10"/>
      <c r="F25" s="10"/>
      <c r="G25" s="10"/>
      <c r="H25" s="10"/>
    </row>
    <row r="26" customFormat="false" ht="30" hidden="false" customHeight="true" outlineLevel="0" collapsed="false">
      <c r="A26" s="10"/>
      <c r="B26" s="10"/>
      <c r="C26" s="10"/>
      <c r="D26" s="10"/>
      <c r="E26" s="10"/>
      <c r="F26" s="10"/>
      <c r="G26" s="10"/>
      <c r="H26" s="10"/>
    </row>
    <row r="27" customFormat="false" ht="30" hidden="false" customHeight="true" outlineLevel="0" collapsed="false">
      <c r="A27" s="10"/>
      <c r="B27" s="10"/>
      <c r="C27" s="10"/>
      <c r="D27" s="10"/>
      <c r="E27" s="10"/>
      <c r="F27" s="10"/>
      <c r="G27" s="10"/>
      <c r="H27" s="10"/>
    </row>
    <row r="28" customFormat="false" ht="30" hidden="false" customHeight="true" outlineLevel="0" collapsed="false">
      <c r="A28" s="10"/>
      <c r="B28" s="10"/>
      <c r="C28" s="10"/>
      <c r="D28" s="10"/>
      <c r="E28" s="10"/>
      <c r="F28" s="10"/>
      <c r="G28" s="10"/>
      <c r="H28" s="10"/>
    </row>
    <row r="29" customFormat="false" ht="30" hidden="false" customHeight="true" outlineLevel="0" collapsed="false">
      <c r="A29" s="10"/>
      <c r="B29" s="10"/>
      <c r="C29" s="10"/>
      <c r="D29" s="10"/>
      <c r="E29" s="10"/>
      <c r="F29" s="10"/>
      <c r="G29" s="10"/>
      <c r="H29"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6"/>
  </cols>
  <sheetData>
    <row r="1" customFormat="false" ht="16.15" hidden="false" customHeight="false" outlineLevel="0" collapsed="false">
      <c r="A1" s="11" t="s">
        <v>247</v>
      </c>
    </row>
    <row r="3" customFormat="false" ht="15" hidden="false" customHeight="false" outlineLevel="0" collapsed="false">
      <c r="A3" s="12" t="s">
        <v>248</v>
      </c>
      <c r="B3" s="12" t="s">
        <v>249</v>
      </c>
      <c r="C3" s="12" t="s">
        <v>250</v>
      </c>
      <c r="D3" s="12" t="s">
        <v>251</v>
      </c>
    </row>
    <row r="4" customFormat="false" ht="18" hidden="false" customHeight="true" outlineLevel="0" collapsed="false">
      <c r="A4" s="13" t="s">
        <v>252</v>
      </c>
      <c r="B4" s="14" t="n">
        <f aca="false">COUNTA(RTM!A2:A42)</f>
        <v>41</v>
      </c>
      <c r="C4" s="14" t="n">
        <f aca="false">COUNTA(RTM!A2:A42)</f>
        <v>41</v>
      </c>
      <c r="D4" s="14" t="n">
        <f aca="false">COUNTA(RTM!A2:A42)</f>
        <v>41</v>
      </c>
    </row>
    <row r="5" customFormat="false" ht="18" hidden="false" customHeight="true" outlineLevel="0" collapsed="false">
      <c r="A5" s="13" t="s">
        <v>253</v>
      </c>
      <c r="B5" s="14" t="n">
        <f aca="false">COUNTIF(RTM!H2:H42,"Covered")</f>
        <v>0</v>
      </c>
      <c r="C5" s="14" t="n">
        <f aca="false">COUNTIF(RTM!J2:J42,"Covered")</f>
        <v>0</v>
      </c>
      <c r="D5" s="14" t="n">
        <f aca="false">COUNTIF(RTM!L2:L42,"Covered")</f>
        <v>0</v>
      </c>
    </row>
    <row r="6" customFormat="false" ht="18" hidden="false" customHeight="true" outlineLevel="0" collapsed="false">
      <c r="A6" s="13" t="s">
        <v>254</v>
      </c>
      <c r="B6" s="14" t="n">
        <f aca="false">COUNTIF(RTM!H2:H42,"Partially Covered")</f>
        <v>0</v>
      </c>
      <c r="C6" s="14" t="n">
        <f aca="false">COUNTIF(RTM!J2:J42,"Partially Covered")</f>
        <v>0</v>
      </c>
      <c r="D6" s="14" t="n">
        <f aca="false">COUNTIF(RTM!L2:L42,"Partially Covered")</f>
        <v>0</v>
      </c>
    </row>
    <row r="7" customFormat="false" ht="18" hidden="false" customHeight="true" outlineLevel="0" collapsed="false">
      <c r="A7" s="13" t="s">
        <v>255</v>
      </c>
      <c r="B7" s="14" t="n">
        <f aca="false">COUNTIF(RTM!H2:H42,"Not Covered")</f>
        <v>0</v>
      </c>
      <c r="C7" s="14" t="n">
        <f aca="false">COUNTIF(RTM!J2:J42,"Not Covered")</f>
        <v>0</v>
      </c>
      <c r="D7" s="14" t="n">
        <f aca="false">COUNTIF(RTM!L2:L42,"Not Covered")</f>
        <v>0</v>
      </c>
    </row>
    <row r="8" customFormat="false" ht="18" hidden="false" customHeight="true" outlineLevel="0" collapsed="false">
      <c r="A8" s="13" t="s">
        <v>256</v>
      </c>
      <c r="B8" s="14" t="n">
        <f aca="false">COUNTIF(RTM!H2:H42,"SOP Missing")</f>
        <v>0</v>
      </c>
      <c r="C8" s="14" t="n">
        <f aca="false">COUNTIF(RTM!J2:J42,"SOP Missing")</f>
        <v>0</v>
      </c>
      <c r="D8" s="14" t="n">
        <f aca="false">COUNTIF(RTM!L2:L42,"SOP Missing")</f>
        <v>0</v>
      </c>
    </row>
    <row r="10" customFormat="false" ht="15" hidden="false" customHeight="false" outlineLevel="0" collapsed="false">
      <c r="A10" s="15" t="s">
        <v>257</v>
      </c>
      <c r="B10" s="16" t="n">
        <f aca="false">IFERROR(B5/B4,0)</f>
        <v>0</v>
      </c>
      <c r="C10" s="16" t="n">
        <f aca="false">IFERROR(C5/C4,0)</f>
        <v>0</v>
      </c>
      <c r="D10" s="16" t="n">
        <f aca="false">IFERROR(D5/D4,0)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2026-07-21T09:17:03Z</dcterms:created>
  <dc:creator>openpyxl</dc:creator>
  <dc:description/>
  <dc:language>en-US</dc:language>
  <cp:lastModifiedBy/>
  <dcterms:modified xsi:type="dcterms:W3CDTF">2026-07-21T09:17:03Z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